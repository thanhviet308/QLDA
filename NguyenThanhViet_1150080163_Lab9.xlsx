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V\Downloads\"/>
    </mc:Choice>
  </mc:AlternateContent>
  <xr:revisionPtr revIDLastSave="0" documentId="8_{3554381C-2FC9-4016-9A9F-8B3F9E430F9C}" xr6:coauthVersionLast="47" xr6:coauthVersionMax="47" xr10:uidLastSave="{00000000-0000-0000-0000-000000000000}"/>
  <bookViews>
    <workbookView xWindow="-108" yWindow="-108" windowWidth="23256" windowHeight="12456" activeTab="3" xr2:uid="{AE9DE816-DD4E-451D-A87C-2CFCB00D7551}"/>
  </bookViews>
  <sheets>
    <sheet name="Theo dự án" sheetId="1" r:id="rId1"/>
    <sheet name="Theo chức năng" sheetId="2" r:id="rId2"/>
    <sheet name="NPV" sheetId="3" r:id="rId3"/>
    <sheet name="Payback PeriodGiả định tích lũ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<sst xmlns="http://schemas.openxmlformats.org/spreadsheetml/2006/main" count="44" uniqueCount="42">
  <si>
    <t>Tiêu chí (Criteria)</t>
  </si>
  <si>
    <t>Trọng số (Weight)</t>
  </si>
  <si>
    <t>Quản lý kho GSP</t>
  </si>
  <si>
    <t>Quản lý sinh viên</t>
  </si>
  <si>
    <t>Website đồ ăn nhanh</t>
  </si>
  <si>
    <t>Hệ thống ERP mini</t>
  </si>
  <si>
    <t>Phù hợp tiêu chuẩn GSP (Compliance with GSP)</t>
  </si>
  <si>
    <t>Hiệu quả quản lý kho, giảm sai sót (Warehouse efficiency)</t>
  </si>
  <si>
    <t>Mức độ khả thi kỹ thuật (Technical feasibility)</t>
  </si>
  <si>
    <t>Rủi ro công nghệ (Technical risk)</t>
  </si>
  <si>
    <t>Thời gian triển khai (Implementation time ≤ 1 year)</t>
  </si>
  <si>
    <t>Chi phí đầu tư (Development cost)</t>
  </si>
  <si>
    <t>Ảnh hưởng người dùng (User impact &amp; usability)</t>
  </si>
  <si>
    <t>Weighted Project Scores</t>
  </si>
  <si>
    <t>Chức năng (Function)</t>
  </si>
  <si>
    <t>Mức độ quan trọng</t>
  </si>
  <si>
    <t>Tính khả thi</t>
  </si>
  <si>
    <t>Ảnh hưởng người dùng</t>
  </si>
  <si>
    <t>Rủi ro kỹ thuật</t>
  </si>
  <si>
    <t>Quản lý thuốc &amp; lô thuốc (Drug &amp; Lot Management)</t>
  </si>
  <si>
    <t>Quản lý phiếu nhập/xuất (Inbound/Outbound slips)</t>
  </si>
  <si>
    <t>Quản lý tồn kho (Inventory tracking)</t>
  </si>
  <si>
    <t>Cảnh báo thuốc sắp hết hạn (Expiry alerts)</t>
  </si>
  <si>
    <t>Phân quyền người dùng (Role-based access)</t>
  </si>
  <si>
    <t>Báo cáo &amp; thống kê (Reports &amp; analytics)</t>
  </si>
  <si>
    <t>Weighted Function Scores</t>
  </si>
  <si>
    <t>Giả định cho dự án:</t>
  </si>
  <si>
    <t>Năm</t>
  </si>
  <si>
    <t>Dòng tiền vào (triệu VNĐ)</t>
  </si>
  <si>
    <t>Dòng tiền ra (triệu VNĐ)</t>
  </si>
  <si>
    <t>Dòng tiền ròng At=In−OutA_t = In - OutAt​=In−Out</t>
  </si>
  <si>
    <t>–</t>
  </si>
  <si>
    <t>Tỷ lệ chiết khấu r=10%=0.1r = 10\% = 0.1r=10%=0.1</t>
  </si>
  <si>
    <t>Dòng tiền ròng</t>
  </si>
  <si>
    <t>Giả định tích lũy (cumulative):</t>
  </si>
  <si>
    <t>Dòng tiền tích lũy (triệu VNĐ)</t>
  </si>
  <si>
    <t>Ghi chú</t>
  </si>
  <si>
    <t>Đầu tư ban đầu</t>
  </si>
  <si>
    <t>Chưa hoàn vốn</t>
  </si>
  <si>
    <t>Gần hoàn vốn</t>
  </si>
  <si>
    <t>Hoàn vốn trong năm thứ 3</t>
  </si>
  <si>
    <t>Thời gian hòa vốn ≈ 2 + 5/55 =2,09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</si>
</sst>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'Theo dự án'!$C$1:$F$1</c:f>
              <c:strCache>
                <c:ptCount val="4"/>
                <c:pt idx="0">
                  <c:v>Quản lý kho GSP</c:v>
                </c:pt>
                <c:pt idx="1">
                  <c:v>Quản lý sinh viên</c:v>
                </c:pt>
                <c:pt idx="2">
                  <c:v>Website đồ ăn nhanh</c:v>
                </c:pt>
                <c:pt idx="3">
                  <c:v>Hệ thống ERP mini</c:v>
                </c:pt>
              </c:strCache>
            </c:strRef>
          </c:cat>
          <c:val>
            <c:numRef>
              <c:f>'Theo dự án'!$C$9:$F$9</c:f>
              <c:numCache>
                <c:formatCode>General</c:formatCode>
                <c:ptCount val="4"/>
                <c:pt idx="0">
                  <c:v>87.25</c:v>
                </c:pt>
                <c:pt idx="1">
                  <c:v>79.5</c:v>
                </c:pt>
                <c:pt idx="2">
                  <c:v>76</c:v>
                </c:pt>
                <c:pt idx="3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E-4012-B8C5-118F6B82A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3701840"/>
        <c:axId val="2010135120"/>
      </c:barChart>
      <c:catAx>
        <c:axId val="1983701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10135120"/>
        <c:crosses val="autoZero"/>
        <c:auto val="1"/>
        <c:lblAlgn val="ctr"/>
        <c:lblOffset val="100"/>
        <c:noMultiLvlLbl val="0"/>
      </c:catAx>
      <c:valAx>
        <c:axId val="201013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8370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'Theo chức năng'!$C$1:$F$1</c:f>
              <c:strCache>
                <c:ptCount val="4"/>
                <c:pt idx="0">
                  <c:v>Mức độ quan trọng</c:v>
                </c:pt>
                <c:pt idx="1">
                  <c:v>Tính khả thi</c:v>
                </c:pt>
                <c:pt idx="2">
                  <c:v>Ảnh hưởng người dùng</c:v>
                </c:pt>
                <c:pt idx="3">
                  <c:v>Rủi ro kỹ thuật</c:v>
                </c:pt>
              </c:strCache>
            </c:strRef>
          </c:cat>
          <c:val>
            <c:numRef>
              <c:f>'Theo chức năng'!$C$8:$F$8</c:f>
              <c:numCache>
                <c:formatCode>General</c:formatCode>
                <c:ptCount val="4"/>
                <c:pt idx="0">
                  <c:v>90.25</c:v>
                </c:pt>
                <c:pt idx="1">
                  <c:v>86.25</c:v>
                </c:pt>
                <c:pt idx="2">
                  <c:v>88.75</c:v>
                </c:pt>
                <c:pt idx="3">
                  <c:v>78.3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7-431C-B5DF-70F6E96B9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8965680"/>
        <c:axId val="1988967120"/>
      </c:barChart>
      <c:catAx>
        <c:axId val="1988965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88967120"/>
        <c:crosses val="autoZero"/>
        <c:auto val="1"/>
        <c:lblAlgn val="ctr"/>
        <c:lblOffset val="100"/>
        <c:noMultiLvlLbl val="0"/>
      </c:catAx>
      <c:valAx>
        <c:axId val="198896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8896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0</xdr:row>
      <xdr:rowOff>0</xdr:rowOff>
    </xdr:from>
    <xdr:to>
      <xdr:col>13</xdr:col>
      <xdr:colOff>358140</xdr:colOff>
      <xdr:row>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231B07-A1DA-3D0F-7127-F074FE6DD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0</xdr:row>
      <xdr:rowOff>0</xdr:rowOff>
    </xdr:from>
    <xdr:to>
      <xdr:col>13</xdr:col>
      <xdr:colOff>327660</xdr:colOff>
      <xdr:row>4</xdr:row>
      <xdr:rowOff>434340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F8AC2-6294-636D-51DE-E5135E099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99B9-CBB4-4A99-B9F2-7F658D02EF79}">
  <dimension ref="A1:F9"/>
  <sheetViews>
    <sheetView workbookViewId="0">
      <selection activeCell="P3" sqref="P3"/>
    </sheetView>
  </sheetViews>
  <sheetFormatPr defaultRowHeight="14.4" x14ac:dyDescent="0.3"/>
  <cols>
    <col min="1" max="1" width="28" customWidth="1"/>
    <col min="2" max="2" width="22.33203125" customWidth="1"/>
  </cols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 x14ac:dyDescent="0.3">
      <c r="A2" s="2" t="s">
        <v>6</v>
      </c>
      <c r="B2" s="3">
        <v>0.25</v>
      </c>
      <c r="C2" s="2">
        <v>95</v>
      </c>
      <c r="D2" s="2">
        <v>70</v>
      </c>
      <c r="E2" s="2">
        <v>50</v>
      </c>
      <c r="F2" s="2">
        <v>60</v>
      </c>
    </row>
    <row r="3" spans="1:6" ht="28.8" customHeight="1" x14ac:dyDescent="0.3">
      <c r="A3" s="2" t="s">
        <v>7</v>
      </c>
      <c r="B3" s="3">
        <v>0.2</v>
      </c>
      <c r="C3" s="2">
        <v>90</v>
      </c>
      <c r="D3" s="2">
        <v>70</v>
      </c>
      <c r="E3" s="2">
        <v>60</v>
      </c>
      <c r="F3" s="2">
        <v>65</v>
      </c>
    </row>
    <row r="4" spans="1:6" ht="36.6" customHeight="1" x14ac:dyDescent="0.3">
      <c r="A4" s="2" t="s">
        <v>8</v>
      </c>
      <c r="B4" s="3">
        <v>0.15</v>
      </c>
      <c r="C4" s="2">
        <v>80</v>
      </c>
      <c r="D4" s="2">
        <v>85</v>
      </c>
      <c r="E4" s="2">
        <v>90</v>
      </c>
      <c r="F4" s="2">
        <v>75</v>
      </c>
    </row>
    <row r="5" spans="1:6" ht="30" customHeight="1" x14ac:dyDescent="0.3">
      <c r="A5" s="2" t="s">
        <v>9</v>
      </c>
      <c r="B5" s="3">
        <v>0.1</v>
      </c>
      <c r="C5" s="2">
        <v>70</v>
      </c>
      <c r="D5" s="2">
        <v>75</v>
      </c>
      <c r="E5" s="2">
        <v>85</v>
      </c>
      <c r="F5" s="2">
        <v>80</v>
      </c>
    </row>
    <row r="6" spans="1:6" ht="24" customHeight="1" x14ac:dyDescent="0.3">
      <c r="A6" s="2" t="s">
        <v>10</v>
      </c>
      <c r="B6" s="3">
        <v>0.1</v>
      </c>
      <c r="C6" s="2">
        <v>85</v>
      </c>
      <c r="D6" s="2">
        <v>90</v>
      </c>
      <c r="E6" s="2">
        <v>95</v>
      </c>
      <c r="F6" s="2">
        <v>80</v>
      </c>
    </row>
    <row r="7" spans="1:6" ht="23.4" customHeight="1" x14ac:dyDescent="0.3">
      <c r="A7" s="2" t="s">
        <v>11</v>
      </c>
      <c r="B7" s="3">
        <v>0.1</v>
      </c>
      <c r="C7" s="2">
        <v>75</v>
      </c>
      <c r="D7" s="2">
        <v>80</v>
      </c>
      <c r="E7" s="2">
        <v>90</v>
      </c>
      <c r="F7" s="2">
        <v>70</v>
      </c>
    </row>
    <row r="8" spans="1:6" ht="29.4" customHeight="1" x14ac:dyDescent="0.3">
      <c r="A8" s="2" t="s">
        <v>12</v>
      </c>
      <c r="B8" s="3">
        <v>0.1</v>
      </c>
      <c r="C8" s="2">
        <v>90</v>
      </c>
      <c r="D8" s="2">
        <v>85</v>
      </c>
      <c r="E8" s="2">
        <v>80</v>
      </c>
      <c r="F8" s="2">
        <v>75</v>
      </c>
    </row>
    <row r="9" spans="1:6" x14ac:dyDescent="0.3">
      <c r="A9" s="4" t="s">
        <v>13</v>
      </c>
      <c r="B9" s="5">
        <v>1</v>
      </c>
      <c r="C9" s="4">
        <v>87.25</v>
      </c>
      <c r="D9" s="4">
        <v>79.5</v>
      </c>
      <c r="E9" s="4">
        <v>76</v>
      </c>
      <c r="F9" s="4">
        <v>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9CF7-D5E9-449B-969B-D99ED0376DC7}">
  <dimension ref="A1:F8"/>
  <sheetViews>
    <sheetView workbookViewId="0">
      <selection activeCell="K7" sqref="K7"/>
    </sheetView>
  </sheetViews>
  <sheetFormatPr defaultRowHeight="14.4" x14ac:dyDescent="0.3"/>
  <cols>
    <col min="1" max="1" width="16.88671875" customWidth="1"/>
  </cols>
  <sheetData>
    <row r="1" spans="1:6" ht="57.6" x14ac:dyDescent="0.3">
      <c r="A1" s="1" t="s">
        <v>14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ht="44.4" customHeight="1" x14ac:dyDescent="0.3">
      <c r="A2" s="2" t="s">
        <v>19</v>
      </c>
      <c r="B2" s="3">
        <v>0.25</v>
      </c>
      <c r="C2" s="2">
        <v>95</v>
      </c>
      <c r="D2" s="2">
        <v>90</v>
      </c>
      <c r="E2" s="2">
        <v>90</v>
      </c>
      <c r="F2" s="2">
        <v>80</v>
      </c>
    </row>
    <row r="3" spans="1:6" ht="37.799999999999997" customHeight="1" x14ac:dyDescent="0.3">
      <c r="A3" s="2" t="s">
        <v>20</v>
      </c>
      <c r="B3" s="3">
        <v>0.2</v>
      </c>
      <c r="C3" s="2">
        <v>90</v>
      </c>
      <c r="D3" s="2">
        <v>85</v>
      </c>
      <c r="E3" s="2">
        <v>85</v>
      </c>
      <c r="F3" s="2">
        <v>75</v>
      </c>
    </row>
    <row r="4" spans="1:6" ht="42" customHeight="1" x14ac:dyDescent="0.3">
      <c r="A4" s="2" t="s">
        <v>21</v>
      </c>
      <c r="B4" s="3">
        <v>0.15</v>
      </c>
      <c r="C4" s="2">
        <v>85</v>
      </c>
      <c r="D4" s="2">
        <v>80</v>
      </c>
      <c r="E4" s="2">
        <v>90</v>
      </c>
      <c r="F4" s="2">
        <v>70</v>
      </c>
    </row>
    <row r="5" spans="1:6" ht="41.4" customHeight="1" x14ac:dyDescent="0.3">
      <c r="A5" s="2" t="s">
        <v>22</v>
      </c>
      <c r="B5" s="3">
        <v>0.15</v>
      </c>
      <c r="C5" s="2">
        <v>95</v>
      </c>
      <c r="D5" s="2">
        <v>85</v>
      </c>
      <c r="E5" s="2">
        <v>95</v>
      </c>
      <c r="F5" s="2">
        <v>75</v>
      </c>
    </row>
    <row r="6" spans="1:6" ht="34.799999999999997" customHeight="1" x14ac:dyDescent="0.3">
      <c r="A6" s="2" t="s">
        <v>23</v>
      </c>
      <c r="B6" s="3">
        <v>0.1</v>
      </c>
      <c r="C6" s="2">
        <v>80</v>
      </c>
      <c r="D6" s="2">
        <v>90</v>
      </c>
      <c r="E6" s="2">
        <v>85</v>
      </c>
      <c r="F6" s="2">
        <v>90</v>
      </c>
    </row>
    <row r="7" spans="1:6" ht="43.8" customHeight="1" x14ac:dyDescent="0.3">
      <c r="A7" s="2" t="s">
        <v>24</v>
      </c>
      <c r="B7" s="3">
        <v>0.15</v>
      </c>
      <c r="C7" s="2">
        <v>90</v>
      </c>
      <c r="D7" s="2">
        <v>85</v>
      </c>
      <c r="E7" s="2">
        <v>85</v>
      </c>
      <c r="F7" s="2">
        <v>80</v>
      </c>
    </row>
    <row r="8" spans="1:6" ht="28.8" x14ac:dyDescent="0.3">
      <c r="A8" s="4" t="s">
        <v>25</v>
      </c>
      <c r="B8" s="5">
        <v>1</v>
      </c>
      <c r="C8" s="4">
        <v>90.25</v>
      </c>
      <c r="D8" s="4">
        <v>86.25</v>
      </c>
      <c r="E8" s="4">
        <v>88.75</v>
      </c>
      <c r="F8" s="4">
        <v>78.3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F3FA-AFCF-4915-854A-714DB7456B3D}">
  <dimension ref="A1:D9"/>
  <sheetViews>
    <sheetView workbookViewId="0">
      <selection activeCell="D3" sqref="D3"/>
    </sheetView>
  </sheetViews>
  <sheetFormatPr defaultRowHeight="14.4" x14ac:dyDescent="0.3"/>
  <cols>
    <col min="2" max="2" width="11.77734375" customWidth="1"/>
    <col min="3" max="3" width="15.6640625" customWidth="1"/>
    <col min="4" max="4" width="34.21875" customWidth="1"/>
  </cols>
  <sheetData>
    <row r="1" spans="1:4" x14ac:dyDescent="0.3">
      <c r="A1" s="6" t="s">
        <v>26</v>
      </c>
    </row>
    <row r="3" spans="1:4" ht="43.2" x14ac:dyDescent="0.3">
      <c r="A3" s="1" t="s">
        <v>27</v>
      </c>
      <c r="B3" s="1" t="s">
        <v>28</v>
      </c>
      <c r="C3" s="1" t="s">
        <v>29</v>
      </c>
      <c r="D3" s="1" t="s">
        <v>30</v>
      </c>
    </row>
    <row r="4" spans="1:4" x14ac:dyDescent="0.3">
      <c r="A4" s="2">
        <v>0</v>
      </c>
      <c r="B4" s="2" t="s">
        <v>31</v>
      </c>
      <c r="C4" s="4">
        <v>80</v>
      </c>
      <c r="D4" s="4">
        <v>-80</v>
      </c>
    </row>
    <row r="5" spans="1:4" x14ac:dyDescent="0.3">
      <c r="A5" s="2">
        <v>1</v>
      </c>
      <c r="B5" s="2">
        <v>50</v>
      </c>
      <c r="C5" s="2">
        <v>20</v>
      </c>
      <c r="D5" s="2">
        <v>30</v>
      </c>
    </row>
    <row r="6" spans="1:4" x14ac:dyDescent="0.3">
      <c r="A6" s="2">
        <v>2</v>
      </c>
      <c r="B6" s="2">
        <v>60</v>
      </c>
      <c r="C6" s="2">
        <v>15</v>
      </c>
      <c r="D6" s="2">
        <v>45</v>
      </c>
    </row>
    <row r="7" spans="1:4" x14ac:dyDescent="0.3">
      <c r="A7" s="2">
        <v>3</v>
      </c>
      <c r="B7" s="2">
        <v>70</v>
      </c>
      <c r="C7" s="2">
        <v>15</v>
      </c>
      <c r="D7" s="2">
        <v>55</v>
      </c>
    </row>
    <row r="8" spans="1:4" x14ac:dyDescent="0.3">
      <c r="A8" s="7"/>
    </row>
    <row r="9" spans="1:4" x14ac:dyDescent="0.3">
      <c r="A9" s="7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4FB2-B529-4193-8029-91DE99CEFCF0}">
  <dimension ref="A2:D11"/>
  <sheetViews>
    <sheetView tabSelected="1" workbookViewId="0">
      <selection activeCell="D17" sqref="D17"/>
    </sheetView>
  </sheetViews>
  <sheetFormatPr defaultRowHeight="14.4" x14ac:dyDescent="0.3"/>
  <cols>
    <col min="1" max="1" width="15" customWidth="1"/>
    <col min="2" max="2" width="16" customWidth="1"/>
    <col min="3" max="3" width="14.88671875" customWidth="1"/>
    <col min="4" max="4" width="14.33203125" customWidth="1"/>
  </cols>
  <sheetData>
    <row r="2" spans="1:4" x14ac:dyDescent="0.3">
      <c r="A2" s="6" t="s">
        <v>34</v>
      </c>
    </row>
    <row r="4" spans="1:4" ht="57.6" x14ac:dyDescent="0.3">
      <c r="A4" s="1" t="s">
        <v>27</v>
      </c>
      <c r="B4" s="1" t="s">
        <v>33</v>
      </c>
      <c r="C4" s="1" t="s">
        <v>35</v>
      </c>
      <c r="D4" s="1" t="s">
        <v>36</v>
      </c>
    </row>
    <row r="5" spans="1:4" ht="28.8" x14ac:dyDescent="0.3">
      <c r="A5" s="2">
        <v>0</v>
      </c>
      <c r="B5" s="2">
        <v>-80</v>
      </c>
      <c r="C5" s="2">
        <v>-80</v>
      </c>
      <c r="D5" s="2" t="s">
        <v>37</v>
      </c>
    </row>
    <row r="6" spans="1:4" ht="28.8" x14ac:dyDescent="0.3">
      <c r="A6" s="2">
        <v>1</v>
      </c>
      <c r="B6" s="2">
        <v>30</v>
      </c>
      <c r="C6" s="2">
        <v>-50</v>
      </c>
      <c r="D6" s="2" t="s">
        <v>38</v>
      </c>
    </row>
    <row r="7" spans="1:4" ht="28.8" x14ac:dyDescent="0.3">
      <c r="A7" s="2">
        <v>2</v>
      </c>
      <c r="B7" s="2">
        <v>45</v>
      </c>
      <c r="C7" s="2">
        <v>-5</v>
      </c>
      <c r="D7" s="2" t="s">
        <v>39</v>
      </c>
    </row>
    <row r="8" spans="1:4" ht="43.2" x14ac:dyDescent="0.3">
      <c r="A8" s="2">
        <v>3</v>
      </c>
      <c r="B8" s="2">
        <v>55</v>
      </c>
      <c r="C8" s="2">
        <v>50</v>
      </c>
      <c r="D8" s="2" t="s">
        <v>40</v>
      </c>
    </row>
    <row r="11" spans="1:4" x14ac:dyDescent="0.3">
      <c r="A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Theo dự án</vt:lpstr>
      <vt:lpstr>Theo chức năng</vt:lpstr>
      <vt:lpstr>NPV</vt:lpstr>
      <vt:lpstr>Payback PeriodGiả định tích lũy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Việt Nguyễn Thành</dc:creator>
  <cp:lastModifiedBy>Việt Nguyễn Thành</cp:lastModifiedBy>
  <dcterms:created xsi:type="dcterms:W3CDTF">2025-10-27T13:53:03Z</dcterms:created>
  <dcterms:modified xsi:type="dcterms:W3CDTF">2025-10-27T14:33:57Z</dcterms:modified>
</cp:coreProperties>
</file>